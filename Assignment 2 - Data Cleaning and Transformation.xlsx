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Pri\Finished documents\"/>
    </mc:Choice>
  </mc:AlternateContent>
  <xr:revisionPtr revIDLastSave="0" documentId="13_ncr:1_{7718A904-686C-4A88-90A3-ADA6E55A553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" sheetId="2" r:id="rId1"/>
    <sheet name="Processed Data" sheetId="3" r:id="rId2"/>
  </sheets>
  <definedNames>
    <definedName name="_xlnm._FilterDatabase" localSheetId="1" hidden="1">'Processed Data'!$A$1:$N$32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M2" i="2"/>
  <c r="M2" i="3"/>
  <c r="M3" i="3"/>
  <c r="M4" i="3"/>
  <c r="H32" i="3"/>
  <c r="H2" i="3"/>
  <c r="K2" i="3"/>
  <c r="L2" i="3"/>
  <c r="H3" i="3"/>
  <c r="K3" i="3"/>
  <c r="L3" i="3"/>
  <c r="N3" i="3"/>
  <c r="H4" i="3"/>
  <c r="K4" i="3"/>
  <c r="L4" i="3"/>
  <c r="N4" i="3"/>
  <c r="H5" i="3"/>
  <c r="K5" i="3"/>
  <c r="L5" i="3"/>
  <c r="M5" i="3"/>
  <c r="N5" i="3"/>
  <c r="H6" i="3"/>
  <c r="K6" i="3"/>
  <c r="L6" i="3"/>
  <c r="M6" i="3"/>
  <c r="N6" i="3"/>
  <c r="H7" i="3"/>
  <c r="K7" i="3"/>
  <c r="L7" i="3"/>
  <c r="M7" i="3"/>
  <c r="N7" i="3"/>
  <c r="H8" i="3"/>
  <c r="K8" i="3"/>
  <c r="L8" i="3"/>
  <c r="M8" i="3"/>
  <c r="N8" i="3"/>
  <c r="H9" i="3"/>
  <c r="K9" i="3"/>
  <c r="L9" i="3"/>
  <c r="M9" i="3"/>
  <c r="N9" i="3"/>
  <c r="H10" i="3"/>
  <c r="K10" i="3"/>
  <c r="L10" i="3"/>
  <c r="M10" i="3"/>
  <c r="N10" i="3"/>
  <c r="H11" i="3"/>
  <c r="K11" i="3"/>
  <c r="L11" i="3"/>
  <c r="M11" i="3"/>
  <c r="N11" i="3"/>
  <c r="H12" i="3"/>
  <c r="K12" i="3"/>
  <c r="L12" i="3"/>
  <c r="M12" i="3"/>
  <c r="N12" i="3"/>
  <c r="H13" i="3"/>
  <c r="K13" i="3"/>
  <c r="L13" i="3"/>
  <c r="M13" i="3"/>
  <c r="N13" i="3"/>
  <c r="H14" i="3"/>
  <c r="K14" i="3"/>
  <c r="L14" i="3"/>
  <c r="M14" i="3"/>
  <c r="N14" i="3"/>
  <c r="H15" i="3"/>
  <c r="K15" i="3"/>
  <c r="L15" i="3"/>
  <c r="M15" i="3"/>
  <c r="N15" i="3"/>
  <c r="H16" i="3"/>
  <c r="K16" i="3"/>
  <c r="L16" i="3"/>
  <c r="M16" i="3"/>
  <c r="N16" i="3"/>
  <c r="H17" i="3"/>
  <c r="K17" i="3"/>
  <c r="L17" i="3"/>
  <c r="M17" i="3"/>
  <c r="N17" i="3"/>
  <c r="H18" i="3"/>
  <c r="K18" i="3"/>
  <c r="L18" i="3"/>
  <c r="M18" i="3"/>
  <c r="N18" i="3"/>
  <c r="H19" i="3"/>
  <c r="K19" i="3"/>
  <c r="L19" i="3"/>
  <c r="M19" i="3"/>
  <c r="N19" i="3"/>
  <c r="H20" i="3"/>
  <c r="K20" i="3"/>
  <c r="L20" i="3"/>
  <c r="M20" i="3"/>
  <c r="N20" i="3"/>
  <c r="H21" i="3"/>
  <c r="K21" i="3"/>
  <c r="L21" i="3"/>
  <c r="M21" i="3"/>
  <c r="N21" i="3"/>
  <c r="H22" i="3"/>
  <c r="K22" i="3"/>
  <c r="L22" i="3"/>
  <c r="M22" i="3"/>
  <c r="N22" i="3"/>
  <c r="H23" i="3"/>
  <c r="K23" i="3"/>
  <c r="L23" i="3"/>
  <c r="M23" i="3"/>
  <c r="N23" i="3"/>
  <c r="H24" i="3"/>
  <c r="K24" i="3"/>
  <c r="L24" i="3"/>
  <c r="M24" i="3"/>
  <c r="N24" i="3"/>
  <c r="H25" i="3"/>
  <c r="K25" i="3"/>
  <c r="L25" i="3"/>
  <c r="M25" i="3"/>
  <c r="N25" i="3"/>
  <c r="H26" i="3"/>
  <c r="K26" i="3"/>
  <c r="L26" i="3"/>
  <c r="M26" i="3"/>
  <c r="N26" i="3"/>
  <c r="H27" i="3"/>
  <c r="K27" i="3"/>
  <c r="L27" i="3"/>
  <c r="M27" i="3"/>
  <c r="N27" i="3"/>
  <c r="H28" i="3"/>
  <c r="K28" i="3"/>
  <c r="L28" i="3"/>
  <c r="M28" i="3"/>
  <c r="N28" i="3"/>
  <c r="H29" i="3"/>
  <c r="K29" i="3"/>
  <c r="L29" i="3"/>
  <c r="M29" i="3"/>
  <c r="N29" i="3"/>
  <c r="H30" i="3"/>
  <c r="K30" i="3"/>
  <c r="L30" i="3"/>
  <c r="M30" i="3"/>
  <c r="N30" i="3"/>
  <c r="H31" i="3"/>
  <c r="K31" i="3"/>
  <c r="L31" i="3"/>
  <c r="M31" i="3"/>
  <c r="N31" i="3"/>
  <c r="K32" i="3"/>
  <c r="L32" i="3"/>
  <c r="M32" i="3"/>
  <c r="N32" i="3"/>
  <c r="D2" i="2"/>
</calcChain>
</file>

<file path=xl/sharedStrings.xml><?xml version="1.0" encoding="utf-8"?>
<sst xmlns="http://schemas.openxmlformats.org/spreadsheetml/2006/main" count="333" uniqueCount="144">
  <si>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</si>
  <si>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</si>
  <si>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</si>
  <si>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</si>
  <si>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</si>
  <si>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</si>
  <si>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</si>
  <si>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</si>
  <si>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</si>
  <si>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</si>
  <si>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</si>
  <si>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</si>
  <si>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</si>
  <si>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</si>
  <si>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</si>
  <si>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</si>
  <si>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</si>
  <si>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</si>
  <si>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</si>
  <si>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</si>
  <si>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</si>
  <si>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</si>
  <si>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</si>
  <si>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</si>
  <si>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</si>
  <si>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</si>
  <si>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</si>
  <si>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</si>
  <si>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</si>
  <si>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</si>
  <si>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</si>
  <si>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</si>
  <si>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</si>
  <si>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</si>
  <si>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</si>
  <si>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</si>
  <si>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</si>
  <si>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</si>
  <si>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</si>
  <si>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</si>
  <si>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</si>
  <si>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</si>
  <si>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</si>
  <si>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</si>
  <si>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</si>
  <si>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</si>
  <si>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</si>
  <si>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</si>
  <si>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</si>
  <si>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</si>
  <si>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</si>
  <si>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</si>
  <si>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</si>
  <si>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</si>
  <si>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</si>
  <si>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</si>
  <si>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</si>
  <si>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</si>
  <si>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</si>
  <si>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</si>
  <si>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</si>
  <si>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</si>
  <si>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</si>
  <si>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</si>
  <si>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</si>
  <si>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</si>
  <si>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</si>
  <si>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</si>
  <si>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</si>
  <si>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</si>
  <si>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</si>
  <si>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</si>
  <si>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</si>
  <si>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</si>
  <si>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</si>
  <si>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</si>
  <si>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</si>
  <si>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</si>
  <si>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</si>
  <si>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</si>
  <si>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</si>
  <si>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</si>
  <si>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</si>
  <si>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</si>
  <si>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</si>
  <si>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</si>
  <si>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</si>
  <si>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</si>
  <si>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</si>
  <si>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</si>
  <si>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</si>
  <si>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</si>
  <si>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</si>
  <si>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</si>
  <si>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</si>
  <si>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</si>
  <si>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</si>
  <si>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28-JAN</t>
  </si>
  <si>
    <t>US</t>
  </si>
  <si>
    <t>15-FEB</t>
  </si>
  <si>
    <t>03-MAR</t>
  </si>
  <si>
    <t>11-APR</t>
  </si>
  <si>
    <t>22-MAY</t>
  </si>
  <si>
    <t>07-JUN</t>
  </si>
  <si>
    <t>UK</t>
  </si>
  <si>
    <t>19-JUL</t>
  </si>
  <si>
    <t>23-AUG</t>
  </si>
  <si>
    <t>05-SEP</t>
  </si>
  <si>
    <t>14-OCT</t>
  </si>
  <si>
    <t>17-JUN</t>
  </si>
  <si>
    <t>IN</t>
  </si>
  <si>
    <t>25-NOV</t>
  </si>
  <si>
    <t>AU</t>
  </si>
  <si>
    <t>08-DEC</t>
  </si>
  <si>
    <t>DE</t>
  </si>
  <si>
    <t>18-FEB</t>
  </si>
  <si>
    <t>CA</t>
  </si>
  <si>
    <t>16-APR</t>
  </si>
  <si>
    <t>ES</t>
  </si>
  <si>
    <t>21-AUG</t>
  </si>
  <si>
    <t>20-AUG</t>
  </si>
  <si>
    <t>CN</t>
  </si>
  <si>
    <t>27-JAN</t>
  </si>
  <si>
    <t>IT</t>
  </si>
  <si>
    <t>01-MAR</t>
  </si>
  <si>
    <t>14-AUG</t>
  </si>
  <si>
    <t>14-MAY</t>
  </si>
  <si>
    <t>RU</t>
  </si>
  <si>
    <t>09-JAN</t>
  </si>
  <si>
    <t>BR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</si>
  <si>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</si>
  <si>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</si>
  <si>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</si>
  <si>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</si>
  <si>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</si>
  <si>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</si>
  <si>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</si>
  <si>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</si>
  <si>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FR</t>
  </si>
  <si>
    <t>Manufacturing Date</t>
  </si>
  <si>
    <t>Country Code</t>
  </si>
  <si>
    <t>Product Brand</t>
  </si>
  <si>
    <t>Price Imputation</t>
  </si>
  <si>
    <t xml:space="preserve">Category Imputation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</si>
</sst>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5C]#,##0;[Red][$$-45C]#,##0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0F7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rgb="FF4DD0E1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3" borderId="0" xfId="0" applyFont="1" applyFill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164" fontId="0" fillId="0" borderId="9" xfId="0" applyNumberFormat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4" fontId="2" fillId="5" borderId="8" xfId="0" applyNumberFormat="1" applyFon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8" xfId="0" applyFill="1" applyBorder="1"/>
    <xf numFmtId="14" fontId="7" fillId="7" borderId="2" xfId="0" applyNumberFormat="1" applyFont="1" applyFill="1" applyBorder="1" applyAlignment="1">
      <alignment horizontal="center"/>
    </xf>
    <xf numFmtId="14" fontId="7" fillId="7" borderId="3" xfId="0" applyNumberFormat="1" applyFont="1" applyFill="1" applyBorder="1" applyAlignment="1">
      <alignment horizontal="center"/>
    </xf>
    <xf numFmtId="49" fontId="5" fillId="8" borderId="3" xfId="0" applyNumberFormat="1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3" xfId="0" applyFont="1" applyFill="1" applyBorder="1"/>
    <xf numFmtId="0" fontId="5" fillId="8" borderId="4" xfId="0" applyFont="1" applyFill="1" applyBorder="1" applyAlignment="1">
      <alignment horizontal="center"/>
    </xf>
  </cellXfs>
  <cellStyles count="1">
    <cellStyle name="Normal" xfId="0" builtinId="0"/>
  </cellStyles>
  <dxfs count="19">
    <dxf>
      <fill>
        <gradientFill degree="90">
          <stop position="0">
            <color theme="0"/>
          </stop>
          <stop position="1">
            <color theme="5" tint="0.80001220740379042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D2" sqref="D2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f ca="1">IF(ISBLANK(D2),AVERAGE($D$2:$D$32,D2,$B$2:$B$32),D2)</f>
        <v>0</v>
      </c>
      <c r="E2" s="2">
        <v>30</v>
      </c>
      <c r="F2" s="2" t="s">
        <v>9</v>
      </c>
      <c r="M2" t="str">
        <f>IF(ISBLANK(F2),INDEX($F$2:$F$32,MATCH(B2,$B$2:$B$32,0)),F2)</f>
        <v>Electronics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F1F3-7600-43A5-A88B-38C19E4A4BD0}">
  <dimension ref="A1:N32"/>
  <sheetViews>
    <sheetView tabSelected="1" topLeftCell="C1" zoomScaleNormal="100" workbookViewId="0">
      <selection activeCell="F3" sqref="F3"/>
    </sheetView>
  </sheetViews>
  <sheetFormatPr defaultRowHeight="12.75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1.28515625" customWidth="1"/>
    <col min="8" max="8" width="19" bestFit="1" customWidth="1"/>
    <col min="9" max="9" width="19" style="12" bestFit="1" customWidth="1"/>
    <col min="10" max="10" width="13.42578125" bestFit="1" customWidth="1"/>
    <col min="11" max="11" width="14" style="13" bestFit="1" customWidth="1"/>
    <col min="12" max="12" width="21.7109375" bestFit="1" customWidth="1"/>
    <col min="13" max="13" width="20.28515625" bestFit="1" customWidth="1"/>
    <col min="14" max="14" width="16.140625" style="13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5" t="s">
        <v>139</v>
      </c>
      <c r="I1" s="26" t="s">
        <v>139</v>
      </c>
      <c r="J1" s="27" t="s">
        <v>140</v>
      </c>
      <c r="K1" s="28" t="s">
        <v>1</v>
      </c>
      <c r="L1" s="28" t="s">
        <v>141</v>
      </c>
      <c r="M1" s="29" t="s">
        <v>143</v>
      </c>
      <c r="N1" s="30" t="s">
        <v>142</v>
      </c>
    </row>
    <row r="2" spans="1:14">
      <c r="A2" s="2" t="s">
        <v>6</v>
      </c>
      <c r="B2" s="6" t="s">
        <v>7</v>
      </c>
      <c r="C2" s="2" t="s">
        <v>8</v>
      </c>
      <c r="D2" s="2">
        <v>1000</v>
      </c>
      <c r="E2" s="2">
        <v>30</v>
      </c>
      <c r="F2" s="2" t="s">
        <v>9</v>
      </c>
      <c r="G2" s="2"/>
      <c r="H2" s="10">
        <f>DATEVALUE(I2&amp;"-2026")</f>
        <v>46050</v>
      </c>
      <c r="I2" s="18" t="s">
        <v>97</v>
      </c>
      <c r="J2" s="19" t="s">
        <v>98</v>
      </c>
      <c r="K2" s="8" t="str">
        <f>PROPER(B2)</f>
        <v>Laptop</v>
      </c>
      <c r="L2" s="23" t="str">
        <f>CONCATENATE(B2," ",C2)</f>
        <v>laptop Dell</v>
      </c>
      <c r="M2" s="8" t="str">
        <f>IF(ISBLANK(F2),INDEX($F$2:$F$32,MATCH(B2,$B$2:$B$32,0)),F2)</f>
        <v>Electronics</v>
      </c>
      <c r="N2" s="11">
        <f>IF(ISBLANK(D2),AVERAGE($D$2:$D$32,D2,$B$2:$B$32),D2)</f>
        <v>1000</v>
      </c>
    </row>
    <row r="3" spans="1:14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/>
      <c r="H3" s="10">
        <f t="shared" ref="H3:H31" si="0">DATEVALUE(I3&amp;"-2026")</f>
        <v>46068</v>
      </c>
      <c r="I3" s="20" t="s">
        <v>99</v>
      </c>
      <c r="J3" s="19" t="s">
        <v>98</v>
      </c>
      <c r="K3" s="9" t="str">
        <f t="shared" ref="K3:K32" si="1">PROPER(B3)</f>
        <v>Sneakers</v>
      </c>
      <c r="L3" s="23" t="str">
        <f t="shared" ref="L3:L32" si="2">CONCATENATE(B3," ",C3)</f>
        <v>Sneakers Nike</v>
      </c>
      <c r="M3" s="8" t="str">
        <f>IF(ISBLANK(F3),INDEX($F$2:$F$32,MATCH(B3,$B$2:$B$32,0)),F3)</f>
        <v>Fashion</v>
      </c>
      <c r="N3" s="11">
        <f t="shared" ref="N2:N32" si="3">IF(ISBLANK(D3),AVERAGE($D$2:$D$32,D3,$B$2:$B$32),D3)</f>
        <v>80</v>
      </c>
    </row>
    <row r="4" spans="1:14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  <c r="H4" s="10">
        <f t="shared" si="0"/>
        <v>46084</v>
      </c>
      <c r="I4" s="18" t="s">
        <v>100</v>
      </c>
      <c r="J4" s="19" t="s">
        <v>98</v>
      </c>
      <c r="K4" s="9" t="str">
        <f t="shared" si="1"/>
        <v>Coffee Maker</v>
      </c>
      <c r="L4" s="23" t="str">
        <f t="shared" si="2"/>
        <v>Coffee Maker Keurig</v>
      </c>
      <c r="M4" s="8" t="str">
        <f>IF(ISBLANK(F4),INDEX($F$2:$F$32,MATCH(B4,$B$2:$B$32,0)),F4)</f>
        <v>Kitchen</v>
      </c>
      <c r="N4" s="11">
        <f t="shared" si="3"/>
        <v>130</v>
      </c>
    </row>
    <row r="5" spans="1:14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/>
      <c r="H5" s="10">
        <f t="shared" si="0"/>
        <v>46123</v>
      </c>
      <c r="I5" s="20" t="s">
        <v>101</v>
      </c>
      <c r="J5" s="19" t="s">
        <v>98</v>
      </c>
      <c r="K5" s="9" t="str">
        <f t="shared" si="1"/>
        <v>Smartphone</v>
      </c>
      <c r="L5" s="23" t="str">
        <f t="shared" si="2"/>
        <v>smartphone Samsung</v>
      </c>
      <c r="M5" s="8" t="str">
        <f t="shared" ref="M2:M32" si="4">IF(ISBLANK(F5),INDEX($F$2:$F$32,MATCH(B5,$B$2:$B$32,0)),F5)</f>
        <v>Electronics</v>
      </c>
      <c r="N5" s="11">
        <f t="shared" si="3"/>
        <v>900</v>
      </c>
    </row>
    <row r="6" spans="1:14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G6" s="2"/>
      <c r="H6" s="10">
        <f t="shared" si="0"/>
        <v>46164</v>
      </c>
      <c r="I6" s="18" t="s">
        <v>102</v>
      </c>
      <c r="J6" s="19" t="s">
        <v>98</v>
      </c>
      <c r="K6" s="9" t="str">
        <f t="shared" si="1"/>
        <v>Backpack</v>
      </c>
      <c r="L6" s="23" t="str">
        <f t="shared" si="2"/>
        <v>Backpack North Face</v>
      </c>
      <c r="M6" s="8">
        <f t="shared" si="4"/>
        <v>0</v>
      </c>
      <c r="N6" s="11">
        <f t="shared" si="3"/>
        <v>70</v>
      </c>
    </row>
    <row r="7" spans="1:14">
      <c r="A7" s="3" t="s">
        <v>24</v>
      </c>
      <c r="B7" s="3" t="s">
        <v>25</v>
      </c>
      <c r="C7" s="3" t="s">
        <v>26</v>
      </c>
      <c r="D7" s="3"/>
      <c r="E7" s="3">
        <v>45</v>
      </c>
      <c r="F7" s="7" t="s">
        <v>9</v>
      </c>
      <c r="G7" s="7"/>
      <c r="H7" s="10">
        <f t="shared" si="0"/>
        <v>46180</v>
      </c>
      <c r="I7" s="20" t="s">
        <v>103</v>
      </c>
      <c r="J7" s="19" t="s">
        <v>104</v>
      </c>
      <c r="K7" s="9" t="str">
        <f t="shared" si="1"/>
        <v>Headphones</v>
      </c>
      <c r="L7" s="23" t="str">
        <f t="shared" si="2"/>
        <v>Headphones Sony</v>
      </c>
      <c r="M7" s="8" t="str">
        <f t="shared" si="4"/>
        <v>Electronics</v>
      </c>
      <c r="N7" s="11">
        <f t="shared" si="3"/>
        <v>297.85714285714283</v>
      </c>
    </row>
    <row r="8" spans="1:14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  <c r="H8" s="10">
        <f t="shared" si="0"/>
        <v>46222</v>
      </c>
      <c r="I8" s="18" t="s">
        <v>105</v>
      </c>
      <c r="J8" s="19" t="s">
        <v>104</v>
      </c>
      <c r="K8" s="9" t="str">
        <f t="shared" si="1"/>
        <v>T-Shirt</v>
      </c>
      <c r="L8" s="23" t="str">
        <f t="shared" si="2"/>
        <v>T-shirt Adidas</v>
      </c>
      <c r="M8" s="8" t="str">
        <f t="shared" si="4"/>
        <v>Fashion</v>
      </c>
      <c r="N8" s="11">
        <f t="shared" si="3"/>
        <v>30</v>
      </c>
    </row>
    <row r="9" spans="1:14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/>
      <c r="H9" s="10">
        <f t="shared" si="0"/>
        <v>46257</v>
      </c>
      <c r="I9" s="20" t="s">
        <v>106</v>
      </c>
      <c r="J9" s="19" t="s">
        <v>104</v>
      </c>
      <c r="K9" s="9" t="str">
        <f t="shared" si="1"/>
        <v>Blender</v>
      </c>
      <c r="L9" s="23" t="str">
        <f t="shared" si="2"/>
        <v>Blender Ninja</v>
      </c>
      <c r="M9" s="8" t="str">
        <f t="shared" si="4"/>
        <v>Kitchen</v>
      </c>
      <c r="N9" s="11">
        <f t="shared" si="3"/>
        <v>90</v>
      </c>
    </row>
    <row r="10" spans="1:14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  <c r="H10" s="10">
        <f t="shared" si="0"/>
        <v>46270</v>
      </c>
      <c r="I10" s="18" t="s">
        <v>107</v>
      </c>
      <c r="J10" s="19" t="s">
        <v>104</v>
      </c>
      <c r="K10" s="9" t="str">
        <f t="shared" si="1"/>
        <v>Tablet</v>
      </c>
      <c r="L10" s="23" t="str">
        <f t="shared" si="2"/>
        <v>Tablet Apple</v>
      </c>
      <c r="M10" s="8" t="str">
        <f t="shared" si="4"/>
        <v>Electronics</v>
      </c>
      <c r="N10" s="11">
        <f t="shared" si="3"/>
        <v>500</v>
      </c>
    </row>
    <row r="11" spans="1:14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s="3"/>
      <c r="H11" s="10">
        <f t="shared" si="0"/>
        <v>46309</v>
      </c>
      <c r="I11" s="20" t="s">
        <v>108</v>
      </c>
      <c r="J11" s="19" t="s">
        <v>104</v>
      </c>
      <c r="K11" s="9" t="str">
        <f t="shared" si="1"/>
        <v>Hiking Boots</v>
      </c>
      <c r="L11" s="23" t="str">
        <f t="shared" si="2"/>
        <v>Hiking Boots Timberland</v>
      </c>
      <c r="M11" s="8" t="str">
        <f t="shared" si="4"/>
        <v>Outdoor</v>
      </c>
      <c r="N11" s="11">
        <f t="shared" si="3"/>
        <v>130</v>
      </c>
    </row>
    <row r="12" spans="1:14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G12" s="2"/>
      <c r="H12" s="10">
        <f t="shared" si="0"/>
        <v>46190</v>
      </c>
      <c r="I12" s="18" t="s">
        <v>109</v>
      </c>
      <c r="J12" s="19" t="s">
        <v>110</v>
      </c>
      <c r="K12" s="9" t="str">
        <f t="shared" si="1"/>
        <v>Laptop</v>
      </c>
      <c r="L12" s="23" t="str">
        <f t="shared" si="2"/>
        <v>Laptop HP</v>
      </c>
      <c r="M12" s="8" t="str">
        <f t="shared" si="4"/>
        <v>Electronics</v>
      </c>
      <c r="N12" s="11">
        <f t="shared" si="3"/>
        <v>950</v>
      </c>
    </row>
    <row r="13" spans="1:14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G13" s="3"/>
      <c r="H13" s="10">
        <f t="shared" si="0"/>
        <v>46351</v>
      </c>
      <c r="I13" s="20" t="s">
        <v>111</v>
      </c>
      <c r="J13" s="19" t="s">
        <v>112</v>
      </c>
      <c r="K13" s="9" t="str">
        <f t="shared" si="1"/>
        <v>Sneakers</v>
      </c>
      <c r="L13" s="23" t="str">
        <f t="shared" si="2"/>
        <v>Sneakers Adidas</v>
      </c>
      <c r="M13" s="8" t="str">
        <f t="shared" si="4"/>
        <v>Fashion</v>
      </c>
      <c r="N13" s="11">
        <f t="shared" si="3"/>
        <v>90</v>
      </c>
    </row>
    <row r="14" spans="1:14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G14" s="2"/>
      <c r="H14" s="10">
        <f t="shared" si="0"/>
        <v>46364</v>
      </c>
      <c r="I14" s="18" t="s">
        <v>113</v>
      </c>
      <c r="J14" s="19" t="s">
        <v>114</v>
      </c>
      <c r="K14" s="9" t="str">
        <f t="shared" si="1"/>
        <v>Coffee Maker</v>
      </c>
      <c r="L14" s="23" t="str">
        <f t="shared" si="2"/>
        <v>Coffee Maker Nespresso</v>
      </c>
      <c r="M14" s="8" t="str">
        <f t="shared" si="4"/>
        <v>Kitchen</v>
      </c>
      <c r="N14" s="11">
        <f t="shared" si="3"/>
        <v>120</v>
      </c>
    </row>
    <row r="15" spans="1:14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9</v>
      </c>
      <c r="G15" s="3"/>
      <c r="H15" s="10">
        <f t="shared" si="0"/>
        <v>46071</v>
      </c>
      <c r="I15" s="20" t="s">
        <v>115</v>
      </c>
      <c r="J15" s="19" t="s">
        <v>116</v>
      </c>
      <c r="K15" s="9" t="str">
        <f t="shared" si="1"/>
        <v>Smartwatch</v>
      </c>
      <c r="L15" s="23" t="str">
        <f t="shared" si="2"/>
        <v>Smartwatch Fitbit</v>
      </c>
      <c r="M15" s="8" t="str">
        <f t="shared" si="4"/>
        <v>Electronics</v>
      </c>
      <c r="N15" s="11">
        <f t="shared" si="3"/>
        <v>150</v>
      </c>
    </row>
    <row r="16" spans="1:14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9</v>
      </c>
      <c r="G16" s="2"/>
      <c r="H16" s="10">
        <f t="shared" si="0"/>
        <v>46128</v>
      </c>
      <c r="I16" s="18" t="s">
        <v>117</v>
      </c>
      <c r="J16" s="19" t="s">
        <v>118</v>
      </c>
      <c r="K16" s="9" t="str">
        <f t="shared" si="1"/>
        <v>Headphones</v>
      </c>
      <c r="L16" s="23" t="str">
        <f t="shared" si="2"/>
        <v>headphones Bose</v>
      </c>
      <c r="M16" s="8" t="str">
        <f t="shared" si="4"/>
        <v>Electronics</v>
      </c>
      <c r="N16" s="11">
        <f t="shared" si="3"/>
        <v>250</v>
      </c>
    </row>
    <row r="17" spans="1:14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G17" s="3"/>
      <c r="H17" s="10">
        <f t="shared" si="0"/>
        <v>46255</v>
      </c>
      <c r="I17" s="20" t="s">
        <v>119</v>
      </c>
      <c r="J17" s="19" t="s">
        <v>116</v>
      </c>
      <c r="K17" s="9" t="str">
        <f t="shared" si="1"/>
        <v>Laptop Bag</v>
      </c>
      <c r="L17" s="23" t="str">
        <f t="shared" si="2"/>
        <v>Laptop Bag Samsonite</v>
      </c>
      <c r="M17" s="8" t="str">
        <f t="shared" si="4"/>
        <v>Accessories</v>
      </c>
      <c r="N17" s="11">
        <f t="shared" si="3"/>
        <v>50</v>
      </c>
    </row>
    <row r="18" spans="1:14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9</v>
      </c>
      <c r="G18" s="2"/>
      <c r="H18" s="10">
        <f t="shared" si="0"/>
        <v>46254</v>
      </c>
      <c r="I18" s="18" t="s">
        <v>120</v>
      </c>
      <c r="J18" s="19" t="s">
        <v>121</v>
      </c>
      <c r="K18" s="9" t="str">
        <f t="shared" si="1"/>
        <v>Smartwatch</v>
      </c>
      <c r="L18" s="23" t="str">
        <f t="shared" si="2"/>
        <v>Smartwatch Huawei</v>
      </c>
      <c r="M18" s="8" t="str">
        <f t="shared" si="4"/>
        <v>Electronics</v>
      </c>
      <c r="N18" s="11">
        <f t="shared" si="3"/>
        <v>160</v>
      </c>
    </row>
    <row r="19" spans="1:14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G19" s="3"/>
      <c r="H19" s="10">
        <f t="shared" si="0"/>
        <v>46049</v>
      </c>
      <c r="I19" s="20" t="s">
        <v>122</v>
      </c>
      <c r="J19" s="19" t="s">
        <v>123</v>
      </c>
      <c r="K19" s="9" t="str">
        <f t="shared" si="1"/>
        <v>Laptop</v>
      </c>
      <c r="L19" s="23" t="str">
        <f t="shared" si="2"/>
        <v>laptop Asus</v>
      </c>
      <c r="M19" s="8" t="str">
        <f t="shared" si="4"/>
        <v>Electronics</v>
      </c>
      <c r="N19" s="11">
        <f t="shared" si="3"/>
        <v>980</v>
      </c>
    </row>
    <row r="20" spans="1:14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s="2"/>
      <c r="H20" s="10">
        <f t="shared" si="0"/>
        <v>46082</v>
      </c>
      <c r="I20" s="18" t="s">
        <v>124</v>
      </c>
      <c r="J20" s="19" t="s">
        <v>104</v>
      </c>
      <c r="K20" s="9" t="str">
        <f t="shared" si="1"/>
        <v>Sunglasses</v>
      </c>
      <c r="L20" s="23" t="str">
        <f t="shared" si="2"/>
        <v>Sunglasses Oakley</v>
      </c>
      <c r="M20" s="8" t="str">
        <f t="shared" si="4"/>
        <v>Fashion</v>
      </c>
      <c r="N20" s="11">
        <f t="shared" si="3"/>
        <v>150</v>
      </c>
    </row>
    <row r="21" spans="1:14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G21" s="3"/>
      <c r="H21" s="10">
        <f t="shared" si="0"/>
        <v>46248</v>
      </c>
      <c r="I21" s="20" t="s">
        <v>125</v>
      </c>
      <c r="J21" s="19" t="s">
        <v>98</v>
      </c>
      <c r="K21" s="9" t="str">
        <f t="shared" si="1"/>
        <v>Camping Tent</v>
      </c>
      <c r="L21" s="23" t="str">
        <f t="shared" si="2"/>
        <v>Camping Tent Coleman</v>
      </c>
      <c r="M21" s="8" t="str">
        <f t="shared" si="4"/>
        <v>Outdoor</v>
      </c>
      <c r="N21" s="11">
        <f t="shared" si="3"/>
        <v>297.85714285714283</v>
      </c>
    </row>
    <row r="22" spans="1:14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G22" s="2"/>
      <c r="H22" s="10">
        <f t="shared" si="0"/>
        <v>46156</v>
      </c>
      <c r="I22" s="18" t="s">
        <v>126</v>
      </c>
      <c r="J22" s="19" t="s">
        <v>127</v>
      </c>
      <c r="K22" s="9" t="str">
        <f t="shared" si="1"/>
        <v>Camera</v>
      </c>
      <c r="L22" s="23" t="str">
        <f t="shared" si="2"/>
        <v>Camera Nikon</v>
      </c>
      <c r="M22" s="8" t="str">
        <f t="shared" si="4"/>
        <v>Electronics</v>
      </c>
      <c r="N22" s="11">
        <f t="shared" si="3"/>
        <v>700</v>
      </c>
    </row>
    <row r="23" spans="1:14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G23" s="3"/>
      <c r="H23" s="10">
        <f t="shared" si="0"/>
        <v>46031</v>
      </c>
      <c r="I23" s="20" t="s">
        <v>128</v>
      </c>
      <c r="J23" s="19" t="s">
        <v>116</v>
      </c>
      <c r="K23" s="9" t="str">
        <f t="shared" si="1"/>
        <v>Microwave</v>
      </c>
      <c r="L23" s="23" t="str">
        <f t="shared" si="2"/>
        <v>Microwave Panasonic</v>
      </c>
      <c r="M23" s="8" t="str">
        <f t="shared" si="4"/>
        <v>Kitchen</v>
      </c>
      <c r="N23" s="11">
        <f t="shared" si="3"/>
        <v>80</v>
      </c>
    </row>
    <row r="24" spans="1:14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G24" s="2"/>
      <c r="H24" s="10">
        <f t="shared" si="0"/>
        <v>46222</v>
      </c>
      <c r="I24" s="18" t="s">
        <v>105</v>
      </c>
      <c r="J24" s="19" t="s">
        <v>129</v>
      </c>
      <c r="K24" s="9" t="str">
        <f t="shared" si="1"/>
        <v>Fitness Tracker</v>
      </c>
      <c r="L24" s="23" t="str">
        <f t="shared" si="2"/>
        <v>Fitness Tracker Xiaomi</v>
      </c>
      <c r="M24" s="8">
        <f t="shared" si="4"/>
        <v>0</v>
      </c>
      <c r="N24" s="11">
        <f t="shared" si="3"/>
        <v>150</v>
      </c>
    </row>
    <row r="25" spans="1:14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  <c r="G25" s="2"/>
      <c r="H25" s="10">
        <f t="shared" si="0"/>
        <v>46294</v>
      </c>
      <c r="I25" s="18" t="s">
        <v>130</v>
      </c>
      <c r="J25" s="19" t="s">
        <v>116</v>
      </c>
      <c r="K25" s="9" t="str">
        <f t="shared" si="1"/>
        <v>Smartphone</v>
      </c>
      <c r="L25" s="23" t="str">
        <f t="shared" si="2"/>
        <v>Smartphone Google</v>
      </c>
      <c r="M25" s="8" t="str">
        <f t="shared" si="4"/>
        <v>Electronics</v>
      </c>
      <c r="N25" s="11">
        <f t="shared" si="3"/>
        <v>800</v>
      </c>
    </row>
    <row r="26" spans="1:14">
      <c r="A26" s="3" t="s">
        <v>79</v>
      </c>
      <c r="B26" s="3" t="s">
        <v>62</v>
      </c>
      <c r="C26" s="3" t="s">
        <v>80</v>
      </c>
      <c r="D26" s="3"/>
      <c r="E26" s="3">
        <v>25</v>
      </c>
      <c r="F26" s="3" t="s">
        <v>13</v>
      </c>
      <c r="G26" s="3"/>
      <c r="H26" s="10">
        <f t="shared" si="0"/>
        <v>46176</v>
      </c>
      <c r="I26" s="20" t="s">
        <v>131</v>
      </c>
      <c r="J26" s="19" t="s">
        <v>116</v>
      </c>
      <c r="K26" s="9" t="str">
        <f t="shared" si="1"/>
        <v>Sunglasses</v>
      </c>
      <c r="L26" s="23" t="str">
        <f t="shared" si="2"/>
        <v>Sunglasses Ray-Ban</v>
      </c>
      <c r="M26" s="8" t="str">
        <f t="shared" si="4"/>
        <v>Fashion</v>
      </c>
      <c r="N26" s="11">
        <f t="shared" si="3"/>
        <v>297.85714285714283</v>
      </c>
    </row>
    <row r="27" spans="1:14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s="2"/>
      <c r="H27" s="10">
        <f t="shared" si="0"/>
        <v>46214</v>
      </c>
      <c r="I27" s="18" t="s">
        <v>132</v>
      </c>
      <c r="J27" s="19" t="s">
        <v>116</v>
      </c>
      <c r="K27" s="9" t="str">
        <f t="shared" si="1"/>
        <v>Blender</v>
      </c>
      <c r="L27" s="23" t="str">
        <f t="shared" si="2"/>
        <v>Blender Vitamix</v>
      </c>
      <c r="M27" s="8" t="str">
        <f t="shared" si="4"/>
        <v>Kitchen</v>
      </c>
      <c r="N27" s="11">
        <f t="shared" si="3"/>
        <v>400</v>
      </c>
    </row>
    <row r="28" spans="1:14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  <c r="G28" s="2"/>
      <c r="H28" s="10">
        <f t="shared" si="0"/>
        <v>46088</v>
      </c>
      <c r="I28" s="18" t="s">
        <v>133</v>
      </c>
      <c r="J28" s="19" t="s">
        <v>116</v>
      </c>
      <c r="K28" s="9" t="str">
        <f t="shared" si="1"/>
        <v>Dress</v>
      </c>
      <c r="L28" s="23" t="str">
        <f t="shared" si="2"/>
        <v>Dress Zara</v>
      </c>
      <c r="M28" s="8" t="str">
        <f t="shared" si="4"/>
        <v>Fashion</v>
      </c>
      <c r="N28" s="11">
        <f t="shared" si="3"/>
        <v>60</v>
      </c>
    </row>
    <row r="29" spans="1:14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  <c r="G29" s="3"/>
      <c r="H29" s="10">
        <f t="shared" si="0"/>
        <v>46125</v>
      </c>
      <c r="I29" s="20" t="s">
        <v>134</v>
      </c>
      <c r="J29" s="19" t="s">
        <v>116</v>
      </c>
      <c r="K29" s="9" t="str">
        <f t="shared" si="1"/>
        <v>Toaster</v>
      </c>
      <c r="L29" s="23" t="str">
        <f t="shared" si="2"/>
        <v>Toaster Hamilton</v>
      </c>
      <c r="M29" s="8" t="str">
        <f t="shared" si="4"/>
        <v>Kitchen</v>
      </c>
      <c r="N29" s="11">
        <f t="shared" si="3"/>
        <v>40</v>
      </c>
    </row>
    <row r="30" spans="1:14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  <c r="G30" s="2"/>
      <c r="H30" s="10">
        <f t="shared" si="0"/>
        <v>46166</v>
      </c>
      <c r="I30" s="18" t="s">
        <v>135</v>
      </c>
      <c r="J30" s="19" t="s">
        <v>116</v>
      </c>
      <c r="K30" s="9" t="str">
        <f t="shared" si="1"/>
        <v>Fitness Tracker</v>
      </c>
      <c r="L30" s="23" t="str">
        <f t="shared" si="2"/>
        <v>Fitness Tracker Garmin</v>
      </c>
      <c r="M30" s="8" t="str">
        <f t="shared" si="4"/>
        <v>Electronics</v>
      </c>
      <c r="N30" s="11">
        <f t="shared" si="3"/>
        <v>130</v>
      </c>
    </row>
    <row r="31" spans="1:14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  <c r="G31" s="3"/>
      <c r="H31" s="10">
        <f t="shared" si="0"/>
        <v>46358</v>
      </c>
      <c r="I31" s="20" t="s">
        <v>136</v>
      </c>
      <c r="J31" s="19" t="s">
        <v>116</v>
      </c>
      <c r="K31" s="9" t="str">
        <f t="shared" si="1"/>
        <v>Jeans</v>
      </c>
      <c r="L31" s="23" t="str">
        <f t="shared" si="2"/>
        <v>Jeans Levi's</v>
      </c>
      <c r="M31" s="8" t="str">
        <f t="shared" si="4"/>
        <v>Fashion</v>
      </c>
      <c r="N31" s="11">
        <f t="shared" si="3"/>
        <v>50</v>
      </c>
    </row>
    <row r="32" spans="1:14" ht="13.5" thickBot="1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s="3"/>
      <c r="H32" s="14">
        <f>DATEVALUE(I32&amp;"-2026")</f>
        <v>46212</v>
      </c>
      <c r="I32" s="21" t="s">
        <v>137</v>
      </c>
      <c r="J32" s="22" t="s">
        <v>138</v>
      </c>
      <c r="K32" s="15" t="str">
        <f t="shared" si="1"/>
        <v>Watch</v>
      </c>
      <c r="L32" s="24" t="str">
        <f t="shared" si="2"/>
        <v>Watch Casio</v>
      </c>
      <c r="M32" s="16" t="str">
        <f t="shared" si="4"/>
        <v>Accessories</v>
      </c>
      <c r="N32" s="17">
        <f t="shared" si="3"/>
        <v>100</v>
      </c>
    </row>
  </sheetData>
  <conditionalFormatting sqref="N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3DEDA25-091B-4EC5-8156-5C50E326F447}">
            <xm:f>NOT(ISERROR(SEARCH($M$2,M1)))</xm:f>
            <xm:f>$M$2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543AEBEE-C85B-411E-B222-A154A7D71B8C}">
            <xm:f>NOT(ISERROR(SEARCH($M$2,M1)))</xm:f>
            <xm:f>$M$2</xm:f>
            <x14:dxf>
              <fill>
                <gradientFill degree="90">
                  <stop position="0">
                    <color theme="0"/>
                  </stop>
                  <stop position="1">
                    <color theme="5" tint="0.80001220740379042"/>
                  </stop>
                </gradientFill>
              </fill>
            </x14:dxf>
          </x14:cfRule>
          <xm:sqref>M1:M1048576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thamo6099@gmail.com</cp:lastModifiedBy>
  <dcterms:created xsi:type="dcterms:W3CDTF">2026-07-23T14:43:37Z</dcterms:created>
  <dcterms:modified xsi:type="dcterms:W3CDTF">2026-09-02T11:12:52Z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